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490ced3fddcfe82/Documents/UNC Chapel HIll Bootcamp/In Class Activities/"/>
    </mc:Choice>
  </mc:AlternateContent>
  <xr:revisionPtr revIDLastSave="4613" documentId="8_{ED5195D5-4266-5241-9AC0-8D3EA9358F06}" xr6:coauthVersionLast="47" xr6:coauthVersionMax="47" xr10:uidLastSave="{FDBAD3DE-86CA-0B4C-B132-4EECE6F68ABB}"/>
  <bookViews>
    <workbookView xWindow="640" yWindow="560" windowWidth="28800" windowHeight="17500" activeTab="4" xr2:uid="{00000000-000D-0000-FFFF-FFFF00000000}"/>
  </bookViews>
  <sheets>
    <sheet name="2017" sheetId="1" r:id="rId1"/>
    <sheet name="2018" sheetId="2" r:id="rId2"/>
    <sheet name="DQ Analysis" sheetId="3" r:id="rId3"/>
    <sheet name="Test" sheetId="4" r:id="rId4"/>
    <sheet name="All Stocks Analysis" sheetId="5" r:id="rId5"/>
  </sheets>
  <calcPr calcId="191029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5" l="1"/>
  <c r="J9" i="5"/>
  <c r="I9" i="5"/>
  <c r="I4" i="5"/>
</calcChain>
</file>

<file path=xl/sharedStrings.xml><?xml version="1.0" encoding="utf-8"?>
<sst xmlns="http://schemas.openxmlformats.org/spreadsheetml/2006/main" count="12092" uniqueCount="532">
  <si>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</si>
  <si>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</si>
  <si>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</si>
  <si>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</si>
  <si>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</si>
  <si>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</si>
  <si>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</si>
  <si>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</si>
  <si>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</si>
  <si>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</si>
  <si>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</si>
  <si>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</si>
  <si>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</si>
  <si>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</si>
  <si>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</si>
  <si>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</si>
  <si>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</si>
  <si>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</si>
  <si>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</si>
  <si>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</si>
  <si>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</si>
  <si>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</si>
  <si>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</si>
  <si>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</si>
  <si>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</si>
  <si>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</si>
  <si>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</si>
  <si>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</si>
  <si>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</si>
  <si>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</si>
  <si>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</si>
  <si>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</si>
  <si>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</si>
  <si>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</si>
  <si>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</si>
  <si>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</si>
  <si>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</si>
  <si>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</si>
  <si>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</si>
  <si>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</si>
  <si>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</si>
  <si>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</si>
  <si>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</si>
  <si>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</si>
  <si>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</si>
  <si>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</si>
  <si>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</si>
  <si>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</si>
  <si>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</si>
  <si>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</si>
  <si>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</si>
  <si>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</si>
  <si>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</si>
  <si>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</si>
  <si>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</si>
  <si>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</si>
  <si>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</si>
  <si>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</si>
  <si>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</si>
  <si>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</si>
  <si>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</si>
  <si>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</si>
  <si>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</si>
  <si>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</si>
  <si>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</si>
  <si>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</si>
  <si>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</si>
  <si>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</si>
  <si>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</si>
  <si>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</si>
  <si>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</si>
  <si>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</si>
  <si>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</si>
  <si>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</si>
  <si>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</si>
  <si>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</si>
  <si>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</si>
  <si>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</si>
  <si>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</si>
  <si>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</si>
  <si>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</si>
  <si>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</si>
  <si>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</si>
  <si>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</si>
  <si>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</si>
  <si>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</si>
  <si>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</si>
  <si>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</si>
  <si>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</si>
  <si>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</si>
  <si>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</si>
  <si>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</si>
  <si>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</si>
  <si>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</si>
  <si>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</si>
  <si>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</si>
  <si>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</si>
  <si>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</si>
  <si>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</si>
  <si>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</si>
  <si>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</si>
  <si>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</si>
  <si>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</si>
  <si>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</si>
  <si>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</si>
  <si>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</si>
  <si>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</si>
  <si>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</si>
  <si>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</si>
  <si>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</si>
  <si>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</si>
  <si>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</si>
  <si>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</si>
  <si>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</si>
  <si>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</si>
  <si>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</si>
  <si>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</si>
  <si>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</si>
  <si>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</si>
  <si>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</si>
  <si>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</si>
  <si>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</si>
  <si>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</si>
  <si>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</si>
  <si>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</si>
  <si>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</si>
  <si>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</si>
  <si>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</si>
  <si>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</si>
  <si>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</si>
  <si>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</si>
  <si>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</si>
  <si>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</si>
  <si>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</si>
  <si>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</si>
  <si>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</si>
  <si>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</si>
  <si>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</si>
  <si>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</si>
  <si>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</si>
  <si>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</si>
  <si>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</si>
  <si>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</si>
  <si>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</si>
  <si>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</si>
  <si>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</si>
  <si>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</si>
  <si>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</si>
  <si>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</si>
  <si>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</si>
  <si>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</si>
  <si>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</si>
  <si>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</si>
  <si>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</si>
  <si>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</si>
  <si>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</si>
  <si>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</si>
  <si>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</si>
  <si>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</si>
  <si>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</si>
  <si>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</si>
  <si>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</si>
  <si>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</si>
  <si>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</si>
  <si>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</si>
  <si>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</si>
  <si>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</si>
  <si>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</si>
  <si>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</si>
  <si>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</si>
  <si>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</si>
  <si>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</si>
  <si>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</si>
  <si>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</si>
  <si>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</si>
  <si>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</si>
  <si>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</si>
  <si>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</si>
  <si>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</si>
  <si>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</si>
  <si>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</si>
  <si>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</si>
  <si>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</si>
  <si>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</si>
  <si>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</si>
  <si>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</si>
  <si>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</si>
  <si>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</si>
  <si>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</si>
  <si>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</si>
  <si>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</si>
  <si>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</si>
  <si>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</si>
  <si>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</si>
  <si>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</si>
  <si>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</si>
  <si>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</si>
  <si>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</si>
  <si>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</si>
  <si>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</si>
  <si>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</si>
  <si>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</si>
  <si>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</si>
  <si>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</si>
  <si>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</si>
  <si>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</si>
  <si>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</si>
  <si>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</si>
  <si>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</si>
  <si>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</si>
  <si>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</si>
  <si>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</si>
  <si>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</si>
  <si>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</si>
  <si>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</si>
  <si>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</si>
  <si>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</si>
  <si>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</si>
  <si>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</si>
  <si>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</si>
  <si>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</si>
  <si>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</si>
  <si>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</si>
  <si>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</si>
  <si>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</si>
  <si>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</si>
  <si>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</si>
  <si>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</si>
  <si>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</si>
  <si>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</si>
  <si>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</si>
  <si>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</si>
  <si>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</si>
  <si>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</si>
  <si>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</si>
  <si>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</si>
  <si>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</si>
  <si>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</si>
  <si>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</si>
  <si>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</si>
  <si>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</si>
  <si>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</si>
  <si>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</si>
  <si>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</si>
  <si>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</si>
  <si>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</si>
  <si>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</si>
  <si>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</si>
  <si>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</si>
  <si>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</si>
  <si>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</si>
  <si>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</si>
  <si>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</si>
  <si>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</si>
  <si>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</si>
  <si>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</si>
  <si>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</si>
  <si>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</si>
  <si>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</si>
  <si>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</si>
  <si>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</si>
  <si>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</si>
  <si>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</si>
  <si>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</si>
  <si>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</si>
  <si>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</si>
  <si>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</si>
  <si>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</si>
  <si>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</si>
  <si>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</si>
  <si>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</si>
  <si>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</si>
  <si>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</si>
  <si>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</si>
  <si>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</si>
  <si>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</si>
  <si>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</si>
  <si>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</si>
  <si>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</si>
  <si>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</si>
  <si>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</si>
  <si>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</si>
  <si>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</si>
  <si>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</si>
  <si>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</si>
  <si>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</si>
  <si>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</si>
  <si>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</si>
  <si>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</si>
  <si>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</si>
  <si>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</si>
  <si>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</si>
  <si>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</si>
  <si>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</si>
  <si>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</si>
  <si>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</si>
  <si>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</si>
  <si>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</si>
  <si>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</si>
  <si>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</si>
  <si>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</si>
  <si>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</si>
  <si>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</si>
  <si>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</si>
  <si>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</si>
  <si>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</si>
  <si>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</si>
  <si>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</si>
  <si>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</si>
  <si>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</si>
  <si>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</si>
  <si>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</si>
  <si>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</si>
  <si>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</si>
  <si>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</si>
  <si>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</si>
  <si>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</si>
  <si>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</si>
  <si>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</si>
  <si>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</si>
  <si>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</si>
  <si>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</si>
  <si>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</si>
  <si>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</si>
  <si>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</si>
  <si>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</si>
  <si>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</si>
  <si>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</si>
  <si>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</si>
  <si>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</si>
  <si>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</si>
  <si>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</si>
  <si>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</si>
  <si>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</si>
  <si>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</si>
  <si>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</si>
  <si>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</si>
  <si>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</si>
  <si>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</si>
  <si>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</si>
  <si>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</si>
  <si>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</si>
  <si>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</si>
  <si>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</si>
  <si>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</si>
  <si>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</si>
  <si>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</si>
  <si>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</si>
  <si>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</si>
  <si>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</si>
  <si>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</si>
  <si>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</si>
  <si>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</si>
  <si>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</si>
  <si>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</si>
  <si>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</si>
  <si>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</si>
  <si>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</si>
  <si>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</si>
  <si>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</si>
  <si>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</si>
  <si>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</si>
  <si>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</si>
  <si>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</si>
  <si>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</si>
  <si>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</si>
  <si>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</si>
  <si>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</si>
  <si>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</si>
  <si>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</si>
  <si>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</si>
  <si>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</si>
  <si>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</si>
  <si>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</si>
  <si>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</si>
  <si>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</si>
  <si>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</si>
  <si>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</si>
  <si>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</si>
  <si>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</si>
  <si>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</si>
  <si>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</si>
  <si>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</si>
  <si>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</si>
  <si>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</si>
  <si>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</si>
  <si>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</si>
  <si>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</si>
  <si>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</si>
  <si>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</si>
  <si>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</si>
  <si>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</si>
  <si>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</si>
  <si>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</si>
  <si>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</si>
  <si>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</si>
  <si>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</si>
  <si>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</si>
  <si>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</si>
  <si>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</si>
  <si>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</si>
  <si>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</si>
  <si>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</si>
  <si>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</si>
  <si>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</si>
  <si>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</si>
  <si>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</si>
  <si>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</si>
  <si>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</si>
  <si>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</si>
  <si>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</si>
  <si>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</si>
  <si>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</si>
  <si>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</si>
  <si>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</si>
  <si>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</si>
  <si>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</si>
  <si>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</si>
  <si>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</si>
  <si>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</si>
  <si>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</si>
  <si>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</si>
  <si>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</si>
  <si>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</si>
  <si>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</si>
  <si>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</si>
  <si>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</si>
  <si>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</si>
  <si>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</si>
  <si>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</si>
  <si>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</si>
  <si>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</si>
  <si>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</si>
  <si>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</si>
  <si>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</si>
  <si>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</si>
  <si>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</si>
  <si>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</si>
  <si>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</si>
  <si>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</si>
  <si>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</si>
  <si>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</si>
  <si>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</si>
  <si>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</si>
  <si>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</si>
  <si>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</si>
  <si>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</si>
  <si>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</si>
  <si>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</si>
  <si>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</si>
  <si>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</si>
  <si>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</si>
  <si>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</si>
  <si>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</si>
  <si>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</si>
  <si>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</si>
  <si>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</si>
  <si>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</si>
  <si>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</si>
  <si>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</si>
  <si>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</si>
  <si>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</si>
  <si>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</si>
  <si>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</si>
  <si>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</si>
  <si>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</si>
  <si>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</si>
  <si>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</si>
  <si>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</si>
  <si>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</si>
  <si>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</si>
  <si>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</si>
  <si>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</si>
  <si>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</si>
  <si>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</si>
  <si>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</si>
  <si>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</si>
  <si>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</si>
  <si>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</si>
  <si>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</si>
  <si>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</si>
  <si>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</si>
  <si>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</si>
  <si>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</si>
  <si>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</si>
  <si>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</si>
  <si>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</si>
  <si>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</si>
  <si>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</si>
  <si>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</si>
  <si>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</si>
  <si>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</si>
  <si>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</si>
  <si>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</si>
  <si>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</si>
  <si>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</si>
  <si>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</si>
  <si>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</si>
  <si>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</si>
  <si>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</si>
  <si>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</si>
  <si>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</si>
  <si>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</si>
  <si>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</si>
  <si>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</si>
  <si>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</si>
  <si>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</si>
  <si>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</si>
  <si>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</si>
  <si>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</si>
  <si>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</si>
  <si>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</si>
  <si>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</si>
  <si>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</si>
  <si>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</si>
  <si>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</si>
  <si>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</si>
  <si>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</si>
  <si>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</si>
  <si>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</si>
  <si>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</si>
  <si>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</si>
  <si>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</si>
  <si>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</si>
  <si>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</si>
  <si>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</si>
  <si>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Mean</t>
  </si>
  <si>
    <t>Median</t>
  </si>
  <si>
    <t>Run Times (x4)</t>
  </si>
  <si>
    <t>Original Run Analysis</t>
  </si>
  <si>
    <t>New Run Analysis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</si>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</sst>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"/>
      <name val="Calibri (Body)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0" xfId="0" applyFont="1"/>
    <xf numFmtId="0" fontId="0" fillId="0" borderId="0" xfId="0" applyNumberFormat="1"/>
    <xf numFmtId="0" fontId="0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VBA Run Time</a:t>
            </a:r>
            <a:r>
              <a:rPr lang="en-US" baseline="0"/>
              <a:t> for Original &amp; Refactored Stock Analysis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 Stocks Analysis'!$I$3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('All Stocks Analysis'!$I$2,'All Stocks Analysis'!$I$7)</c:f>
              <c:strCache>
                <c:ptCount val="2"/>
                <c:pt idx="0">
                  <c:v>Original Run Analysis</c:v>
                </c:pt>
                <c:pt idx="1">
                  <c:v>New Run Analysis</c:v>
                </c:pt>
              </c:strCache>
            </c:strRef>
          </c:cat>
          <c:val>
            <c:numRef>
              <c:f>('All Stocks Analysis'!$I$4,'All Stocks Analysis'!$I$9)</c:f>
              <c:numCache>
                <c:formatCode>General</c:formatCode>
                <c:ptCount val="2"/>
                <c:pt idx="0">
                  <c:v>0.826171875</c:v>
                </c:pt>
                <c:pt idx="1">
                  <c:v>0.17919921875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A444-864E-747DA15CD5D5}"/>
            </c:ext>
          </c:extLst>
        </c:ser>
        <c:ser>
          <c:idx val="1"/>
          <c:order val="1"/>
          <c:tx>
            <c:strRef>
              <c:f>'All Stocks Analysis'!$J$3</c:f>
              <c:strCache>
                <c:ptCount val="1"/>
                <c:pt idx="0">
                  <c:v>Median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('All Stocks Analysis'!$I$2,'All Stocks Analysis'!$I$7)</c:f>
              <c:strCache>
                <c:ptCount val="2"/>
                <c:pt idx="0">
                  <c:v>Original Run Analysis</c:v>
                </c:pt>
                <c:pt idx="1">
                  <c:v>New Run Analysis</c:v>
                </c:pt>
              </c:strCache>
            </c:strRef>
          </c:cat>
          <c:val>
            <c:numRef>
              <c:f>('All Stocks Analysis'!$J$4,'All Stocks Analysis'!$J$9)</c:f>
              <c:numCache>
                <c:formatCode>General</c:formatCode>
                <c:ptCount val="2"/>
                <c:pt idx="0">
                  <c:v>0.650390625</c:v>
                </c:pt>
                <c:pt idx="1">
                  <c:v>0.130859375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88-A444-864E-747DA15CD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652304"/>
        <c:axId val="332037680"/>
      </c:barChart>
      <c:catAx>
        <c:axId val="12265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37680"/>
        <c:crosses val="autoZero"/>
        <c:auto val="1"/>
        <c:lblAlgn val="ctr"/>
        <c:lblOffset val="100"/>
        <c:noMultiLvlLbl val="0"/>
      </c:catAx>
      <c:valAx>
        <c:axId val="33203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65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Daily Volume for 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'All Stocks Analysis'!$B$3</c:f>
              <c:strCache>
                <c:ptCount val="1"/>
                <c:pt idx="0">
                  <c:v>Total Daily Volume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Analysis'!$B$4:$B$15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5F-1A49-AC45-1CF2D38C0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964448"/>
        <c:axId val="359809888"/>
      </c:lineChart>
      <c:catAx>
        <c:axId val="12396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809888"/>
        <c:crosses val="autoZero"/>
        <c:auto val="1"/>
        <c:lblAlgn val="ctr"/>
        <c:lblOffset val="100"/>
        <c:noMultiLvlLbl val="0"/>
      </c:catAx>
      <c:valAx>
        <c:axId val="35980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6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for 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 Stocks Analysis'!$C$3</c:f>
              <c:strCache>
                <c:ptCount val="1"/>
                <c:pt idx="0">
                  <c:v>Return</c:v>
                </c:pt>
              </c:strCache>
            </c:strRef>
          </c:tx>
          <c:spPr>
            <a:solidFill>
              <a:srgbClr val="4F81BD"/>
            </a:solidFill>
            <a:ln>
              <a:noFill/>
            </a:ln>
            <a:effectLst/>
          </c:spPr>
          <c:invertIfNegative val="1"/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Analysis'!$C$4:$C$15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504D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966B-7849-9D72-50F338CBB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95761024"/>
        <c:axId val="352640608"/>
      </c:barChart>
      <c:catAx>
        <c:axId val="29576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640608"/>
        <c:crosses val="autoZero"/>
        <c:auto val="1"/>
        <c:lblAlgn val="ctr"/>
        <c:lblOffset val="100"/>
        <c:noMultiLvlLbl val="0"/>
      </c:catAx>
      <c:valAx>
        <c:axId val="35264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76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3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0</xdr:rowOff>
        </xdr:from>
        <xdr:to>
          <xdr:col>7</xdr:col>
          <xdr:colOff>12700</xdr:colOff>
          <xdr:row>12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 (refactored)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6350</xdr:colOff>
      <xdr:row>15</xdr:row>
      <xdr:rowOff>12700</xdr:rowOff>
    </xdr:from>
    <xdr:to>
      <xdr:col>15</xdr:col>
      <xdr:colOff>450850</xdr:colOff>
      <xdr:row>33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12700</xdr:rowOff>
    </xdr:from>
    <xdr:to>
      <xdr:col>5</xdr:col>
      <xdr:colOff>12700</xdr:colOff>
      <xdr:row>33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12700</xdr:colOff>
      <xdr:row>15</xdr:row>
      <xdr:rowOff>12700</xdr:rowOff>
    </xdr:from>
    <xdr:to>
      <xdr:col>10</xdr:col>
      <xdr:colOff>12700</xdr:colOff>
      <xdr:row>33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J8" sqref="J8"/>
    </sheetView>
  </sheetViews>
  <sheetFormatPr baseColWidth="10" defaultColWidth="8.83203125" defaultRowHeight="15" x14ac:dyDescent="0.2"/>
  <sheetData>
    <row r="1" spans="1:8" x14ac:dyDescent="0.2">
      <c r="A1" s="1" t="s">
        <v>522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3014" sqref="A3014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DC884-D1E8-D145-B346-052CCCD16B86}">
  <sheetPr codeName="Sheet3"/>
  <dimension ref="A1:C4"/>
  <sheetViews>
    <sheetView workbookViewId="0">
      <selection activeCell="C5" sqref="C5"/>
    </sheetView>
  </sheetViews>
  <sheetFormatPr baseColWidth="10" defaultRowHeight="15" x14ac:dyDescent="0.2"/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66851-39F4-6941-8515-9FC73704B30A}">
  <sheetPr codeName="Sheet4"/>
  <dimension ref="A1:J1"/>
  <sheetViews>
    <sheetView workbookViewId="0"/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93E2-9711-BC4A-B6ED-FF73DBACB86F}">
  <sheetPr codeName="Sheet5"/>
  <dimension ref="A1:J15"/>
  <sheetViews>
    <sheetView tabSelected="1" workbookViewId="0">
      <selection activeCell="K11" sqref="K11"/>
    </sheetView>
  </sheetViews>
  <sheetFormatPr baseColWidth="10" defaultRowHeight="15" x14ac:dyDescent="0.2"/>
  <cols>
    <col min="2" max="2" width="15.6640625" bestFit="1" customWidth="1"/>
    <col min="8" max="8" width="12" bestFit="1" customWidth="1"/>
  </cols>
  <sheetData>
    <row r="1" spans="1:10" x14ac:dyDescent="0.2">
      <c r="A1" t="s">
        <v>531</v>
      </c>
    </row>
    <row r="2" spans="1:10" x14ac:dyDescent="0.2">
      <c r="I2" s="9" t="s">
        <v>529</v>
      </c>
    </row>
    <row r="3" spans="1:10" x14ac:dyDescent="0.2">
      <c r="A3" s="2" t="s">
        <v>0</v>
      </c>
      <c r="B3" s="2" t="s">
        <v>524</v>
      </c>
      <c r="C3" s="2" t="s">
        <v>525</v>
      </c>
      <c r="H3" s="6" t="s">
        <v>528</v>
      </c>
      <c r="I3" s="6" t="s">
        <v>526</v>
      </c>
      <c r="J3" s="6" t="s">
        <v>527</v>
      </c>
    </row>
    <row r="4" spans="1:10" x14ac:dyDescent="0.2">
      <c r="A4" t="s">
        <v>8</v>
      </c>
      <c r="B4" s="3">
        <v>83079900</v>
      </c>
      <c r="C4" s="4">
        <v>-7.2847634553909302E-2</v>
      </c>
      <c r="H4" s="7">
        <v>0.65234375</v>
      </c>
      <c r="I4" s="8">
        <f>SUBTOTAL(1, H4:H7)</f>
        <v>0.826171875</v>
      </c>
      <c r="J4">
        <f>MEDIAN(H4:H7)</f>
        <v>0.650390625</v>
      </c>
    </row>
    <row r="5" spans="1:10" x14ac:dyDescent="0.2">
      <c r="A5" t="s">
        <v>9</v>
      </c>
      <c r="B5" s="3">
        <v>200879900</v>
      </c>
      <c r="C5" s="4">
        <v>-0.16336052119731903</v>
      </c>
      <c r="H5">
        <v>0.64453125</v>
      </c>
    </row>
    <row r="6" spans="1:10" x14ac:dyDescent="0.2">
      <c r="A6" t="s">
        <v>10</v>
      </c>
      <c r="B6" s="3">
        <v>107873900</v>
      </c>
      <c r="C6" s="4">
        <v>-0.62601888179779053</v>
      </c>
      <c r="H6">
        <v>0.6484375</v>
      </c>
    </row>
    <row r="7" spans="1:10" x14ac:dyDescent="0.2">
      <c r="A7" t="s">
        <v>11</v>
      </c>
      <c r="B7" s="3">
        <v>607473500</v>
      </c>
      <c r="C7" s="5">
        <v>0.81923085451126099</v>
      </c>
      <c r="H7">
        <v>1.359375</v>
      </c>
      <c r="I7" s="9" t="s">
        <v>530</v>
      </c>
    </row>
    <row r="8" spans="1:10" x14ac:dyDescent="0.2">
      <c r="A8" t="s">
        <v>12</v>
      </c>
      <c r="B8" s="3">
        <v>478113900</v>
      </c>
      <c r="C8" s="4">
        <v>-0.39713191986083984</v>
      </c>
      <c r="H8" s="6" t="s">
        <v>528</v>
      </c>
      <c r="I8" s="6" t="s">
        <v>526</v>
      </c>
      <c r="J8" s="6" t="s">
        <v>527</v>
      </c>
    </row>
    <row r="9" spans="1:10" x14ac:dyDescent="0.2">
      <c r="A9" t="s">
        <v>13</v>
      </c>
      <c r="B9" s="3">
        <v>104340600</v>
      </c>
      <c r="C9" s="4">
        <v>-0.20658062398433685</v>
      </c>
      <c r="H9">
        <v>0.12109375</v>
      </c>
      <c r="I9">
        <f>SUBTOTAL(1, H9:H12)</f>
        <v>0.17919921875</v>
      </c>
      <c r="J9">
        <f>MEDIAN(H9:H12)</f>
        <v>0.130859375</v>
      </c>
    </row>
    <row r="10" spans="1:10" x14ac:dyDescent="0.2">
      <c r="A10" t="s">
        <v>14</v>
      </c>
      <c r="B10" s="3">
        <v>158309000</v>
      </c>
      <c r="C10" s="4">
        <v>-0.6053471565246582</v>
      </c>
      <c r="H10">
        <v>0.13671875</v>
      </c>
      <c r="I10" s="6"/>
    </row>
    <row r="11" spans="1:10" x14ac:dyDescent="0.2">
      <c r="A11" t="s">
        <v>15</v>
      </c>
      <c r="B11" s="3">
        <v>502757100</v>
      </c>
      <c r="C11" s="5">
        <v>0.83952707052230835</v>
      </c>
      <c r="H11">
        <v>0.125</v>
      </c>
    </row>
    <row r="12" spans="1:10" x14ac:dyDescent="0.2">
      <c r="A12" t="s">
        <v>16</v>
      </c>
      <c r="B12" s="3">
        <v>237212300</v>
      </c>
      <c r="C12" s="4">
        <v>-7.7529586851596832E-2</v>
      </c>
      <c r="H12">
        <v>0.333984375</v>
      </c>
    </row>
    <row r="13" spans="1:10" x14ac:dyDescent="0.2">
      <c r="A13" t="s">
        <v>17</v>
      </c>
      <c r="B13" s="3">
        <v>538024300</v>
      </c>
      <c r="C13" s="4">
        <v>-0.44593092799186707</v>
      </c>
    </row>
    <row r="14" spans="1:10" x14ac:dyDescent="0.2">
      <c r="A14" t="s">
        <v>18</v>
      </c>
      <c r="B14" s="3">
        <v>151434700</v>
      </c>
      <c r="C14" s="4">
        <v>-4.9957673996686935E-2</v>
      </c>
    </row>
    <row r="15" spans="1:10" x14ac:dyDescent="0.2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12700</xdr:colOff>
                    <xdr:row>3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7</xdr:col>
                    <xdr:colOff>12700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Test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Emerson Fleming</cp:lastModifiedBy>
  <dcterms:created xsi:type="dcterms:W3CDTF">2019-05-02T20:23:55Z</dcterms:created>
  <dcterms:modified xsi:type="dcterms:W3CDTF">2022-09-08T12:06:01Z</dcterms:modified>
</cp:coreProperties>
</file>